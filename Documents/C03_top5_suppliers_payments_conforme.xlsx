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_Payment_Terms" sheetId="1" state="visible" r:id="rId3"/>
    <sheet name="Invoices_Q1_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<sst xmlns="http://schemas.openxmlformats.org/spreadsheetml/2006/main" count="70" uniqueCount="45">
  <si>
    <t xml:space="preserve">Supplier_Name</t>
  </si>
  <si>
    <t xml:space="preserve">Contract_Reference</t>
  </si>
  <si>
    <t xml:space="preserve">Contract_Payment_Terms</t>
  </si>
  <si>
    <t xml:space="preserve">Annual_Spend_EUR</t>
  </si>
  <si>
    <t xml:space="preserve">AlphaTech Solutions S.p.A.</t>
  </si>
  <si>
    <t xml:space="preserve">CNT-2025-AT-018</t>
  </si>
  <si>
    <t xml:space="preserve">60gg DFFM</t>
  </si>
  <si>
    <t xml:space="preserve">Beta Logistics Italia S.r.l.</t>
  </si>
  <si>
    <t xml:space="preserve">CNT-2025-BL-044</t>
  </si>
  <si>
    <t xml:space="preserve">30gg FM</t>
  </si>
  <si>
    <t xml:space="preserve">Gamma Industrial Supplies</t>
  </si>
  <si>
    <t xml:space="preserve">CNT-2025-GI-007</t>
  </si>
  <si>
    <t xml:space="preserve">45gg data fattura</t>
  </si>
  <si>
    <t xml:space="preserve">Delta Packaging Group</t>
  </si>
  <si>
    <t xml:space="preserve">CNT-2024-DP-112</t>
  </si>
  <si>
    <t xml:space="preserve">Epsilon Energy Services</t>
  </si>
  <si>
    <t xml:space="preserve">CNT-2025-EE-003</t>
  </si>
  <si>
    <t xml:space="preserve">Invoice_Number</t>
  </si>
  <si>
    <t xml:space="preserve">Invoice_Date</t>
  </si>
  <si>
    <t xml:space="preserve">Invoice_Amount_EUR</t>
  </si>
  <si>
    <t xml:space="preserve">Due_Date_Calculated</t>
  </si>
  <si>
    <t xml:space="preserve">Actual_Payment_Date</t>
  </si>
  <si>
    <t xml:space="preserve">Days_Late</t>
  </si>
  <si>
    <t xml:space="preserve">ALT-2026-0012</t>
  </si>
  <si>
    <t xml:space="preserve">ALT-2026-0031</t>
  </si>
  <si>
    <t xml:space="preserve">ALT-2026-0052</t>
  </si>
  <si>
    <t xml:space="preserve">ALT-2026-0078</t>
  </si>
  <si>
    <t xml:space="preserve">ALT-2026-0104</t>
  </si>
  <si>
    <t xml:space="preserve">BL-2026-0221</t>
  </si>
  <si>
    <t xml:space="preserve">BL-2026-0289</t>
  </si>
  <si>
    <t xml:space="preserve">BL-2026-0334</t>
  </si>
  <si>
    <t xml:space="preserve">BL-2026-0401</t>
  </si>
  <si>
    <t xml:space="preserve">GI-2026-0055</t>
  </si>
  <si>
    <t xml:space="preserve">GI-2026-0081</t>
  </si>
  <si>
    <t xml:space="preserve">GI-2026-0119</t>
  </si>
  <si>
    <t xml:space="preserve">GI-2026-0163</t>
  </si>
  <si>
    <t xml:space="preserve">DP-2026-0207</t>
  </si>
  <si>
    <t xml:space="preserve">DP-2026-0248</t>
  </si>
  <si>
    <t xml:space="preserve">DP-2026-0301</t>
  </si>
  <si>
    <t xml:space="preserve">DP-2026-0368</t>
  </si>
  <si>
    <t xml:space="preserve">EES-2026-0092</t>
  </si>
  <si>
    <t xml:space="preserve">EES-2026-0128</t>
  </si>
  <si>
    <t xml:space="preserve">EES-2026-0174</t>
  </si>
  <si>
    <t xml:space="preserve">EES-2026-0218</t>
  </si>
  <si>
    <t xml:space="preserve">EES-2026-0263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</si>
</sst>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yyyy\-mm\-dd"/>
    <numFmt numFmtId="167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1820000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930000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3" t="n">
        <v>640000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6</v>
      </c>
      <c r="D5" s="3" t="n">
        <v>1450000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9</v>
      </c>
      <c r="D6" s="3" t="n">
        <v>1710000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customFormat="false" ht="15" hidden="false" customHeight="false" outlineLevel="0" collapsed="false">
      <c r="A2" s="2" t="s">
        <v>4</v>
      </c>
      <c r="B2" s="2" t="s">
        <v>23</v>
      </c>
      <c r="C2" s="4" t="n">
        <v>46030</v>
      </c>
      <c r="D2" s="3" t="n">
        <v>48500</v>
      </c>
      <c r="E2" s="4" t="n">
        <v>46113</v>
      </c>
      <c r="F2" s="4" t="n">
        <v>46111</v>
      </c>
      <c r="G2" s="5" t="n">
        <f aca="false">F2-E2</f>
        <v>-2</v>
      </c>
    </row>
    <row r="3" customFormat="false" ht="15" hidden="false" customHeight="false" outlineLevel="0" collapsed="false">
      <c r="A3" s="2" t="s">
        <v>4</v>
      </c>
      <c r="B3" s="2" t="s">
        <v>24</v>
      </c>
      <c r="C3" s="4" t="n">
        <v>46046</v>
      </c>
      <c r="D3" s="3" t="n">
        <v>126400</v>
      </c>
      <c r="E3" s="4" t="n">
        <v>46113</v>
      </c>
      <c r="F3" s="4" t="n">
        <v>46111</v>
      </c>
      <c r="G3" s="5" t="n">
        <f aca="false">F3-E3</f>
        <v>-2</v>
      </c>
    </row>
    <row r="4" customFormat="false" ht="15" hidden="false" customHeight="false" outlineLevel="0" collapsed="false">
      <c r="A4" s="2" t="s">
        <v>4</v>
      </c>
      <c r="B4" s="2" t="s">
        <v>25</v>
      </c>
      <c r="C4" s="4" t="n">
        <v>46062</v>
      </c>
      <c r="D4" s="3" t="n">
        <v>87250</v>
      </c>
      <c r="E4" s="4" t="n">
        <v>46141</v>
      </c>
      <c r="F4" s="4" t="n">
        <v>46140</v>
      </c>
      <c r="G4" s="5" t="n">
        <f aca="false">F4-E4</f>
        <v>-1</v>
      </c>
    </row>
    <row r="5" customFormat="false" ht="15" hidden="false" customHeight="false" outlineLevel="0" collapsed="false">
      <c r="A5" s="2" t="s">
        <v>4</v>
      </c>
      <c r="B5" s="2" t="s">
        <v>26</v>
      </c>
      <c r="C5" s="4" t="n">
        <v>46080</v>
      </c>
      <c r="D5" s="3" t="n">
        <v>64900</v>
      </c>
      <c r="E5" s="4" t="n">
        <v>46141</v>
      </c>
      <c r="F5" s="4" t="n">
        <v>46139</v>
      </c>
      <c r="G5" s="5" t="n">
        <f aca="false">F5-E5</f>
        <v>-2</v>
      </c>
    </row>
    <row r="6" customFormat="false" ht="15" hidden="false" customHeight="false" outlineLevel="0" collapsed="false">
      <c r="A6" s="2" t="s">
        <v>4</v>
      </c>
      <c r="B6" s="2" t="s">
        <v>27</v>
      </c>
      <c r="C6" s="4" t="n">
        <v>46099</v>
      </c>
      <c r="D6" s="3" t="n">
        <v>55300</v>
      </c>
      <c r="E6" s="4" t="n">
        <v>46172</v>
      </c>
      <c r="F6" s="4" t="n">
        <v>46171</v>
      </c>
      <c r="G6" s="5" t="n">
        <f aca="false">F6-E6</f>
        <v>-1</v>
      </c>
    </row>
    <row r="7" customFormat="false" ht="15" hidden="false" customHeight="false" outlineLevel="0" collapsed="false">
      <c r="A7" s="2" t="s">
        <v>7</v>
      </c>
      <c r="B7" s="2" t="s">
        <v>28</v>
      </c>
      <c r="C7" s="4" t="n">
        <v>46034</v>
      </c>
      <c r="D7" s="3" t="n">
        <v>18400</v>
      </c>
      <c r="E7" s="4" t="n">
        <v>46083</v>
      </c>
      <c r="F7" s="4" t="n">
        <v>46081</v>
      </c>
      <c r="G7" s="5" t="n">
        <f aca="false">F7-E7</f>
        <v>-2</v>
      </c>
    </row>
    <row r="8" customFormat="false" ht="15" hidden="false" customHeight="false" outlineLevel="0" collapsed="false">
      <c r="A8" s="2" t="s">
        <v>7</v>
      </c>
      <c r="B8" s="2" t="s">
        <v>29</v>
      </c>
      <c r="C8" s="4" t="n">
        <v>46057</v>
      </c>
      <c r="D8" s="3" t="n">
        <v>22150</v>
      </c>
      <c r="E8" s="4" t="n">
        <v>46111</v>
      </c>
      <c r="F8" s="4" t="n">
        <v>46111</v>
      </c>
      <c r="G8" s="5" t="n">
        <f aca="false">F8-E8</f>
        <v>0</v>
      </c>
    </row>
    <row r="9" customFormat="false" ht="15" hidden="false" customHeight="false" outlineLevel="0" collapsed="false">
      <c r="A9" s="2" t="s">
        <v>7</v>
      </c>
      <c r="B9" s="2" t="s">
        <v>30</v>
      </c>
      <c r="C9" s="4" t="n">
        <v>46076</v>
      </c>
      <c r="D9" s="3" t="n">
        <v>31800</v>
      </c>
      <c r="E9" s="4" t="n">
        <v>46111</v>
      </c>
      <c r="F9" s="4" t="n">
        <v>46110</v>
      </c>
      <c r="G9" s="5" t="n">
        <f aca="false">F9-E9</f>
        <v>-1</v>
      </c>
    </row>
    <row r="10" customFormat="false" ht="15" hidden="false" customHeight="false" outlineLevel="0" collapsed="false">
      <c r="A10" s="2" t="s">
        <v>7</v>
      </c>
      <c r="B10" s="2" t="s">
        <v>31</v>
      </c>
      <c r="C10" s="4" t="n">
        <v>46092</v>
      </c>
      <c r="D10" s="3" t="n">
        <v>25900</v>
      </c>
      <c r="E10" s="4" t="n">
        <v>46142</v>
      </c>
      <c r="F10" s="4" t="n">
        <v>46141</v>
      </c>
      <c r="G10" s="5" t="n">
        <f aca="false">F10-E10</f>
        <v>-1</v>
      </c>
    </row>
    <row r="11" customFormat="false" ht="15" hidden="false" customHeight="false" outlineLevel="0" collapsed="false">
      <c r="A11" s="2" t="s">
        <v>10</v>
      </c>
      <c r="B11" s="2" t="s">
        <v>32</v>
      </c>
      <c r="C11" s="4" t="n">
        <v>46037</v>
      </c>
      <c r="D11" s="3" t="n">
        <v>9800</v>
      </c>
      <c r="E11" s="4" t="n">
        <v>46082</v>
      </c>
      <c r="F11" s="4" t="n">
        <v>46081</v>
      </c>
      <c r="G11" s="5" t="n">
        <f aca="false">F11-E11</f>
        <v>-1</v>
      </c>
    </row>
    <row r="12" customFormat="false" ht="15" hidden="false" customHeight="false" outlineLevel="0" collapsed="false">
      <c r="A12" s="2" t="s">
        <v>10</v>
      </c>
      <c r="B12" s="2" t="s">
        <v>33</v>
      </c>
      <c r="C12" s="4" t="n">
        <v>46055</v>
      </c>
      <c r="D12" s="3" t="n">
        <v>14250</v>
      </c>
      <c r="E12" s="4" t="n">
        <v>46100</v>
      </c>
      <c r="F12" s="4" t="n">
        <v>46099</v>
      </c>
      <c r="G12" s="5" t="n">
        <f aca="false">F12-E12</f>
        <v>-1</v>
      </c>
    </row>
    <row r="13" customFormat="false" ht="15" hidden="false" customHeight="false" outlineLevel="0" collapsed="false">
      <c r="A13" s="2" t="s">
        <v>10</v>
      </c>
      <c r="B13" s="2" t="s">
        <v>34</v>
      </c>
      <c r="C13" s="4" t="n">
        <v>46072</v>
      </c>
      <c r="D13" s="3" t="n">
        <v>8700</v>
      </c>
      <c r="E13" s="4" t="n">
        <v>46117</v>
      </c>
      <c r="F13" s="4" t="n">
        <v>46116</v>
      </c>
      <c r="G13" s="5" t="n">
        <f aca="false">F13-E13</f>
        <v>-1</v>
      </c>
    </row>
    <row r="14" customFormat="false" ht="15" hidden="false" customHeight="false" outlineLevel="0" collapsed="false">
      <c r="A14" s="2" t="s">
        <v>10</v>
      </c>
      <c r="B14" s="2" t="s">
        <v>35</v>
      </c>
      <c r="C14" s="4" t="n">
        <v>46091</v>
      </c>
      <c r="D14" s="3" t="n">
        <v>11500</v>
      </c>
      <c r="E14" s="4" t="n">
        <v>46136</v>
      </c>
      <c r="F14" s="4" t="n">
        <v>46135</v>
      </c>
      <c r="G14" s="5" t="n">
        <f aca="false">F14-E14</f>
        <v>-1</v>
      </c>
    </row>
    <row r="15" customFormat="false" ht="15" hidden="false" customHeight="false" outlineLevel="0" collapsed="false">
      <c r="A15" s="2" t="s">
        <v>13</v>
      </c>
      <c r="B15" s="2" t="s">
        <v>36</v>
      </c>
      <c r="C15" s="4" t="n">
        <v>46029</v>
      </c>
      <c r="D15" s="3" t="n">
        <v>38900</v>
      </c>
      <c r="E15" s="4" t="n">
        <v>46113</v>
      </c>
      <c r="F15" s="4" t="n">
        <v>46109</v>
      </c>
      <c r="G15" s="5" t="n">
        <f aca="false">F15-E15</f>
        <v>-4</v>
      </c>
    </row>
    <row r="16" customFormat="false" ht="15" hidden="false" customHeight="false" outlineLevel="0" collapsed="false">
      <c r="A16" s="2" t="s">
        <v>13</v>
      </c>
      <c r="B16" s="2" t="s">
        <v>37</v>
      </c>
      <c r="C16" s="4" t="n">
        <v>46051</v>
      </c>
      <c r="D16" s="3" t="n">
        <v>52600</v>
      </c>
      <c r="E16" s="4" t="n">
        <v>46113</v>
      </c>
      <c r="F16" s="4" t="n">
        <v>46111</v>
      </c>
      <c r="G16" s="5" t="n">
        <f aca="false">F16-E16</f>
        <v>-2</v>
      </c>
    </row>
    <row r="17" customFormat="false" ht="15" hidden="false" customHeight="false" outlineLevel="0" collapsed="false">
      <c r="A17" s="2" t="s">
        <v>13</v>
      </c>
      <c r="B17" s="2" t="s">
        <v>38</v>
      </c>
      <c r="C17" s="4" t="n">
        <v>46070</v>
      </c>
      <c r="D17" s="3" t="n">
        <v>67800</v>
      </c>
      <c r="E17" s="4" t="n">
        <v>46141</v>
      </c>
      <c r="F17" s="4" t="n">
        <v>46141</v>
      </c>
      <c r="G17" s="5" t="n">
        <f aca="false">F17-E17</f>
        <v>0</v>
      </c>
    </row>
    <row r="18" customFormat="false" ht="15" hidden="false" customHeight="false" outlineLevel="0" collapsed="false">
      <c r="A18" s="2" t="s">
        <v>13</v>
      </c>
      <c r="B18" s="2" t="s">
        <v>39</v>
      </c>
      <c r="C18" s="4" t="n">
        <v>46087</v>
      </c>
      <c r="D18" s="3" t="n">
        <v>44150</v>
      </c>
      <c r="E18" s="4" t="n">
        <v>46172</v>
      </c>
      <c r="F18" s="4" t="n">
        <v>46170</v>
      </c>
      <c r="G18" s="5" t="n">
        <f aca="false">F18-E18</f>
        <v>-2</v>
      </c>
    </row>
    <row r="19" customFormat="false" ht="15" hidden="false" customHeight="false" outlineLevel="0" collapsed="false">
      <c r="A19" s="2" t="s">
        <v>15</v>
      </c>
      <c r="B19" s="2" t="s">
        <v>40</v>
      </c>
      <c r="C19" s="4" t="n">
        <v>46027</v>
      </c>
      <c r="D19" s="3" t="n">
        <v>125300</v>
      </c>
      <c r="E19" s="4" t="n">
        <v>46083</v>
      </c>
      <c r="F19" s="4" t="n">
        <v>46079</v>
      </c>
      <c r="G19" s="5" t="n">
        <f aca="false">F19-E19</f>
        <v>-4</v>
      </c>
    </row>
    <row r="20" customFormat="false" ht="15" hidden="false" customHeight="false" outlineLevel="0" collapsed="false">
      <c r="A20" s="2" t="s">
        <v>15</v>
      </c>
      <c r="B20" s="2" t="s">
        <v>41</v>
      </c>
      <c r="C20" s="4" t="n">
        <v>46049</v>
      </c>
      <c r="D20" s="3" t="n">
        <v>98750</v>
      </c>
      <c r="E20" s="4" t="n">
        <v>46083</v>
      </c>
      <c r="F20" s="4" t="n">
        <v>46081</v>
      </c>
      <c r="G20" s="5" t="n">
        <f aca="false">F20-E20</f>
        <v>-2</v>
      </c>
    </row>
    <row r="21" customFormat="false" ht="15" hidden="false" customHeight="false" outlineLevel="0" collapsed="false">
      <c r="A21" s="2" t="s">
        <v>15</v>
      </c>
      <c r="B21" s="2" t="s">
        <v>42</v>
      </c>
      <c r="C21" s="4" t="n">
        <v>46069</v>
      </c>
      <c r="D21" s="3" t="n">
        <v>142000</v>
      </c>
      <c r="E21" s="4" t="n">
        <v>46111</v>
      </c>
      <c r="F21" s="4" t="n">
        <v>46110</v>
      </c>
      <c r="G21" s="5" t="n">
        <f aca="false">F21-E21</f>
        <v>-1</v>
      </c>
    </row>
    <row r="22" customFormat="false" ht="15" hidden="false" customHeight="false" outlineLevel="0" collapsed="false">
      <c r="A22" s="2" t="s">
        <v>15</v>
      </c>
      <c r="B22" s="2" t="s">
        <v>43</v>
      </c>
      <c r="C22" s="4" t="n">
        <v>46085</v>
      </c>
      <c r="D22" s="3" t="n">
        <v>110500</v>
      </c>
      <c r="E22" s="4" t="n">
        <v>46142</v>
      </c>
      <c r="F22" s="4" t="n">
        <v>46140</v>
      </c>
      <c r="G22" s="5" t="n">
        <f aca="false">F22-E22</f>
        <v>-2</v>
      </c>
    </row>
    <row r="23" customFormat="false" ht="15" hidden="false" customHeight="false" outlineLevel="0" collapsed="false">
      <c r="A23" s="2" t="s">
        <v>15</v>
      </c>
      <c r="B23" s="2" t="s">
        <v>44</v>
      </c>
      <c r="C23" s="4" t="n">
        <v>46103</v>
      </c>
      <c r="D23" s="3" t="n">
        <v>88600</v>
      </c>
      <c r="E23" s="4" t="n">
        <v>46142</v>
      </c>
      <c r="F23" s="4" t="n">
        <v>46141</v>
      </c>
      <c r="G23" s="5" t="n">
        <f aca="false">F23-E23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2026-04-22T13:54:37Z</dcterms:created>
  <dc:creator>openpyxl</dc:creator>
  <dc:description/>
  <dc:language>en-US</dc:language>
  <cp:lastModifiedBy/>
  <dcterms:modified xsi:type="dcterms:W3CDTF">2026-04-22T13:54:37Z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